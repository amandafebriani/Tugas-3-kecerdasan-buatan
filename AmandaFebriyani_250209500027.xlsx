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c41fa25933a46d/"/>
    </mc:Choice>
  </mc:AlternateContent>
  <xr:revisionPtr revIDLastSave="0" documentId="8_{190A6213-65D0-42D3-8346-C911A81D03CF}" xr6:coauthVersionLast="47" xr6:coauthVersionMax="47" xr10:uidLastSave="{00000000-0000-0000-0000-000000000000}"/>
  <bookViews>
    <workbookView xWindow="-110" yWindow="-110" windowWidth="19420" windowHeight="10300" xr2:uid="{B1F34F56-0702-48DD-A10E-22E925E78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16" i="1"/>
  <c r="B14" i="1"/>
  <c r="C5" i="1"/>
  <c r="B5" i="1"/>
  <c r="C4" i="1"/>
  <c r="C3" i="1"/>
  <c r="C2" i="1"/>
</calcChain>
</file>

<file path=xl/sharedStrings.xml><?xml version="1.0" encoding="utf-8"?>
<sst xmlns="http://schemas.openxmlformats.org/spreadsheetml/2006/main" count="17" uniqueCount="16">
  <si>
    <t>Kondisi</t>
  </si>
  <si>
    <t>Jumlah</t>
  </si>
  <si>
    <t>Persentase</t>
  </si>
  <si>
    <t>Lalot</t>
  </si>
  <si>
    <t>Kena Virus</t>
  </si>
  <si>
    <t>Normal</t>
  </si>
  <si>
    <t>Total</t>
  </si>
  <si>
    <t>Evidence</t>
  </si>
  <si>
    <t>Bintik</t>
  </si>
  <si>
    <t>Panas</t>
  </si>
  <si>
    <t>MB</t>
  </si>
  <si>
    <t>MD</t>
  </si>
  <si>
    <t>Kasus</t>
  </si>
  <si>
    <t>hasil</t>
  </si>
  <si>
    <t xml:space="preserve">Panas </t>
  </si>
  <si>
    <t>Bintik+Panas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</si>
</sst>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9" fontId="0" fillId="0" borderId="6" xfId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</a:t>
            </a:r>
            <a:r>
              <a:rPr lang="en-US" baseline="0"/>
              <a:t> Persentase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Sheet1!$A$2:$A$4</c:f>
              <c:strCache>
                <c:ptCount val="3"/>
                <c:pt idx="0">
                  <c:v>Lalot</c:v>
                </c:pt>
                <c:pt idx="1">
                  <c:v>Kena Virus</c:v>
                </c:pt>
                <c:pt idx="2">
                  <c:v>Normal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8</c:v>
                </c:pt>
                <c:pt idx="2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E-423A-9648-F20304AAE14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Persentase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Sheet1!$A$2:$A$4</c:f>
              <c:strCache>
                <c:ptCount val="3"/>
                <c:pt idx="0">
                  <c:v>Lalot</c:v>
                </c:pt>
                <c:pt idx="1">
                  <c:v>Kena Virus</c:v>
                </c:pt>
                <c:pt idx="2">
                  <c:v>Normal</c:v>
                </c:pt>
              </c:strCache>
            </c:strRef>
          </c:cat>
          <c:val>
            <c:numRef>
              <c:f>Sheet1!$C$2:$C$4</c:f>
              <c:numCache>
                <c:formatCode>0%</c:formatCode>
                <c:ptCount val="3"/>
                <c:pt idx="0">
                  <c:v>0.25</c:v>
                </c:pt>
                <c:pt idx="1">
                  <c:v>0.2</c:v>
                </c:pt>
                <c:pt idx="2">
                  <c:v>0.55000000000000004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1E-423A-9648-F20304AAE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322516</xdr:colOff>
      <xdr:row>0</xdr:row>
      <xdr:rowOff>174579</xdr:rowOff>
    </xdr:from>
    <xdr:to>
      <xdr:col>10</xdr:col>
      <xdr:colOff>138044</xdr:colOff>
      <xdr:row>12</xdr:row>
      <xdr:rowOff>46014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1BB0F0-822F-A329-2E77-DDFC5A578A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F005DD-2146-4F68-9DD4-95BC61583823}" name="Table2" displayName="Table2" ref="A1:C5" totalsRowShown="0" headerRowDxfId="10" dataDxfId="9">
  <autoFilter ref="A1:C5" xr:uid="{6EF005DD-2146-4F68-9DD4-95BC61583823}"/>
  <tableColumns count="3">
    <tableColumn id="1" xr3:uid="{FA6EED67-FEE0-4103-8A4D-62ACC747F087}" name="Kondisi" dataDxfId="13"/>
    <tableColumn id="2" xr3:uid="{63E68496-D936-45E5-9739-33CA34017D04}" name="Jumlah" dataDxfId="12"/>
    <tableColumn id="3" xr3:uid="{76A9C09C-F964-4F90-96EC-4B45D40F27BB}" name="Persentase" dataDxfId="11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C6BE1E-6471-4A67-B670-5AB1D993E9E9}" name="Table3" displayName="Table3" ref="A8:C10" totalsRowShown="0" headerRowDxfId="5" dataDxfId="4">
  <autoFilter ref="A8:C10" xr:uid="{82C6BE1E-6471-4A67-B670-5AB1D993E9E9}"/>
  <tableColumns count="3">
    <tableColumn id="1" xr3:uid="{C36383EB-7771-4BBC-983C-2D3EBB3C9203}" name="Evidence" dataDxfId="8"/>
    <tableColumn id="2" xr3:uid="{57075B81-939F-4072-AC14-243E6735532E}" name="MB" dataDxfId="7"/>
    <tableColumn id="3" xr3:uid="{67530DB5-6DE2-48FD-83E8-B3AEAE00E116}" name="MD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6EA48D-28DF-4EE0-ABB5-EF9418DC362C}" name="Table4" displayName="Table4" ref="A13:B16" totalsRowShown="0" headerRowDxfId="1" dataDxfId="0" headerRowBorderDxfId="15" tableBorderDxfId="16" totalsRowBorderDxfId="14">
  <autoFilter ref="A13:B16" xr:uid="{7C6EA48D-28DF-4EE0-ABB5-EF9418DC362C}"/>
  <tableColumns count="2">
    <tableColumn id="1" xr3:uid="{C33FDA2E-C845-44BD-BE12-7574C72A08D6}" name="Kasus" dataDxfId="3"/>
    <tableColumn id="2" xr3:uid="{F0D04EC4-D442-4EE7-9CC9-0BA9624CBE18}" name="hasil" dataDxfId="2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6FC2-B605-4A79-A0B4-835BDC372CC0}">
  <dimension ref="A1:C16"/>
  <sheetViews>
    <sheetView tabSelected="1" zoomScale="75" workbookViewId="0">
      <selection activeCell="B16" sqref="B16"/>
    </sheetView>
  </sheetViews>
  <sheetFormatPr defaultRowHeight="14.5" x14ac:dyDescent="0.35"/>
  <cols>
    <col min="1" max="1" width="13" customWidth="1"/>
    <col min="3" max="3" width="12.089843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s="1" t="s">
        <v>3</v>
      </c>
      <c r="B2" s="1">
        <v>10</v>
      </c>
      <c r="C2" s="2">
        <f>B2/SUM($B$2:$B$4)</f>
        <v>0.25</v>
      </c>
    </row>
    <row r="3" spans="1:3" x14ac:dyDescent="0.35">
      <c r="A3" s="1" t="s">
        <v>4</v>
      </c>
      <c r="B3" s="1">
        <v>8</v>
      </c>
      <c r="C3" s="2">
        <f>B3/SUM($B$2:$B$4)</f>
        <v>0.2</v>
      </c>
    </row>
    <row r="4" spans="1:3" x14ac:dyDescent="0.35">
      <c r="A4" s="1" t="s">
        <v>5</v>
      </c>
      <c r="B4" s="1">
        <v>22</v>
      </c>
      <c r="C4" s="2">
        <f>B4/SUM($B$2:$B$4)</f>
        <v>0.55000000000000004</v>
      </c>
    </row>
    <row r="5" spans="1:3" x14ac:dyDescent="0.35">
      <c r="A5" s="3" t="s">
        <v>6</v>
      </c>
      <c r="B5" s="3">
        <f>SUM(B2:B4)</f>
        <v>40</v>
      </c>
      <c r="C5" s="4">
        <f>SUM(C2:C4)</f>
        <v>1</v>
      </c>
    </row>
    <row r="6" spans="1:3" x14ac:dyDescent="0.35">
      <c r="A6" s="1"/>
      <c r="B6" s="1"/>
      <c r="C6" s="1"/>
    </row>
    <row r="7" spans="1:3" x14ac:dyDescent="0.35">
      <c r="A7" s="1"/>
      <c r="B7" s="1"/>
      <c r="C7" s="1"/>
    </row>
    <row r="8" spans="1:3" x14ac:dyDescent="0.35">
      <c r="A8" s="1" t="s">
        <v>7</v>
      </c>
      <c r="B8" s="1" t="s">
        <v>10</v>
      </c>
      <c r="C8" s="1" t="s">
        <v>11</v>
      </c>
    </row>
    <row r="9" spans="1:3" x14ac:dyDescent="0.35">
      <c r="A9" s="1" t="s">
        <v>8</v>
      </c>
      <c r="B9" s="1">
        <v>0.8</v>
      </c>
      <c r="C9" s="1">
        <v>0.01</v>
      </c>
    </row>
    <row r="10" spans="1:3" x14ac:dyDescent="0.35">
      <c r="A10" s="1" t="s">
        <v>9</v>
      </c>
      <c r="B10" s="1">
        <v>0.7</v>
      </c>
      <c r="C10" s="1">
        <v>0.05</v>
      </c>
    </row>
    <row r="11" spans="1:3" x14ac:dyDescent="0.35">
      <c r="A11" s="1"/>
      <c r="B11" s="1"/>
      <c r="C11" s="1"/>
    </row>
    <row r="13" spans="1:3" x14ac:dyDescent="0.35">
      <c r="A13" s="5" t="s">
        <v>12</v>
      </c>
      <c r="B13" s="6" t="s">
        <v>13</v>
      </c>
      <c r="C13" s="1"/>
    </row>
    <row r="14" spans="1:3" x14ac:dyDescent="0.35">
      <c r="A14" s="7" t="s">
        <v>8</v>
      </c>
      <c r="B14" s="8">
        <f>B9</f>
        <v>0.8</v>
      </c>
      <c r="C14" s="1"/>
    </row>
    <row r="15" spans="1:3" x14ac:dyDescent="0.35">
      <c r="A15" s="9" t="s">
        <v>14</v>
      </c>
      <c r="B15" s="10">
        <f>B10</f>
        <v>0.7</v>
      </c>
      <c r="C15" s="1"/>
    </row>
    <row r="16" spans="1:3" x14ac:dyDescent="0.35">
      <c r="A16" s="7" t="s">
        <v>15</v>
      </c>
      <c r="B16" s="8">
        <f>(B9 -C9) + (B10 - C10) * (1-(B9 - C9))</f>
        <v>0.92649999999999999</v>
      </c>
    </row>
  </sheetData>
  <phoneticPr fontId="3" type="noConversion"/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febriyani</dc:creator>
  <cp:lastModifiedBy>amanda febriyani</cp:lastModifiedBy>
  <dcterms:created xsi:type="dcterms:W3CDTF">2026-09-23T02:32:08Z</dcterms:created>
  <dcterms:modified xsi:type="dcterms:W3CDTF">2026-09-23T03:23:57Z</dcterms:modified>
</cp:coreProperties>
</file>